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ort" sheetId="1" r:id="rId4"/>
    <sheet state="visible" name="Dane" sheetId="2" r:id="rId5"/>
  </sheets>
  <definedNames/>
  <calcPr/>
</workbook>
</file>

<file path=xl/sharedStrings.xml><?xml version="1.0" encoding="utf-8"?>
<sst xmlns="http://schemas.openxmlformats.org/spreadsheetml/2006/main" count="94" uniqueCount="50">
  <si>
    <t>Raport analityczny: zaginione zwierzęta</t>
  </si>
  <si>
    <t>240 ogłoszeń z serwisu alertuj-ogloszenia.pl · dane zebrane i przetworzone w ramach projektu Big Data</t>
  </si>
  <si>
    <t>Rekordy
240
łączna liczba ogłoszeń</t>
  </si>
  <si>
    <t>Zaginione
233
dominujący typ ogłoszenia</t>
  </si>
  <si>
    <t>Z miastem
237
rekordy z podaną lokalizacją</t>
  </si>
  <si>
    <t>Z nagrodą
119
niemal połowa ogłoszeń</t>
  </si>
  <si>
    <t>Najmocniejszy obraz danych: większość ogłoszeń dotyczy kotów, a województwo mazowieckie wyraźnie wyróżnia się liczbą wpisów. Informacja o nagrodzie pojawia się niemal tak często, jak jej brak, co sprawia, że ten wymiar dobrze nadaje się do porównania w analizie.</t>
  </si>
  <si>
    <t>Gatunek</t>
  </si>
  <si>
    <t>Liczba</t>
  </si>
  <si>
    <t>Udział</t>
  </si>
  <si>
    <t>Województwo</t>
  </si>
  <si>
    <t>Kot</t>
  </si>
  <si>
    <t>mazowieckie</t>
  </si>
  <si>
    <t>Pies</t>
  </si>
  <si>
    <t>dolnośląskie</t>
  </si>
  <si>
    <t>Ptak</t>
  </si>
  <si>
    <t>pomorskie</t>
  </si>
  <si>
    <t>Inne</t>
  </si>
  <si>
    <t>opolskie</t>
  </si>
  <si>
    <t>Inne / brak danych</t>
  </si>
  <si>
    <t>małopolskie</t>
  </si>
  <si>
    <t>śląskie</t>
  </si>
  <si>
    <t>łódzkie</t>
  </si>
  <si>
    <t>Nagroda</t>
  </si>
  <si>
    <t>podkarpackie</t>
  </si>
  <si>
    <t>Nie</t>
  </si>
  <si>
    <t>kujawsko-pomorskie</t>
  </si>
  <si>
    <t>Tak</t>
  </si>
  <si>
    <t>Kategoria opisu</t>
  </si>
  <si>
    <t>Typ ogłoszenia</t>
  </si>
  <si>
    <t>Średni opis</t>
  </si>
  <si>
    <t>Zaginione</t>
  </si>
  <si>
    <t>Długi opis</t>
  </si>
  <si>
    <t>Brak danych</t>
  </si>
  <si>
    <t>Krótki opis</t>
  </si>
  <si>
    <t>Odnalezione</t>
  </si>
  <si>
    <t>Metryka</t>
  </si>
  <si>
    <t>Wartość</t>
  </si>
  <si>
    <t>Liczba rekordów</t>
  </si>
  <si>
    <t>Średnia kompletność rekordu</t>
  </si>
  <si>
    <t>Razem</t>
  </si>
  <si>
    <t>Rekordy z miejscowością</t>
  </si>
  <si>
    <t>Rekordy bez miejscowości</t>
  </si>
  <si>
    <t>Rekordy z nagrodą</t>
  </si>
  <si>
    <t>Rekordy bez nagrody</t>
  </si>
  <si>
    <t>Rok</t>
  </si>
  <si>
    <t>Miesiąc</t>
  </si>
  <si>
    <t>podlaskie</t>
  </si>
  <si>
    <t>lubelskie</t>
  </si>
  <si>
    <t>warmińsko-mazurskie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</si>
</sst>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rgb="FF000000"/>
      <name val="Arial"/>
      <scheme val="minor"/>
    </font>
    <font>
      <b/>
      <sz val="24.0"/>
      <color rgb="FF214247"/>
      <name val="Aptos"/>
    </font>
    <font>
      <i/>
      <sz val="11.0"/>
      <color rgb="FF5F6F73"/>
      <name val="Aptos"/>
    </font>
    <font>
      <sz val="11.0"/>
      <color rgb="FF1E2930"/>
      <name val="Aptos"/>
    </font>
    <font>
      <b/>
      <sz val="12.0"/>
      <color rgb="FF214247"/>
      <name val="Aptos"/>
    </font>
    <font>
      <b/>
      <sz val="11.0"/>
      <color rgb="FFFFFFFF"/>
      <name val="Aptos"/>
    </font>
    <font>
      <b/>
      <sz val="10.0"/>
      <color rgb="FF1E2930"/>
      <name val="Aptos"/>
    </font>
    <font>
      <sz val="10.0"/>
      <color rgb="FF1E2930"/>
      <name val="Aptos"/>
    </font>
    <font>
      <sz val="11.0"/>
      <color/>
      <name val="Carlito"/>
    </font>
    <font>
      <b/>
      <sz val="11.0"/>
      <color rgb="FFFFFFFF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F7F1E6"/>
        <bgColor rgb="FFF7F1E6"/>
      </patternFill>
    </fill>
    <fill>
      <patternFill patternType="solid">
        <fgColor rgb="FF214247"/>
        <bgColor rgb="FF214247"/>
      </patternFill>
    </fill>
    <fill>
      <patternFill patternType="solid">
        <fgColor rgb="FFFFF8EA"/>
        <bgColor rgb="FFFFF8EA"/>
      </patternFill>
    </fill>
    <fill>
      <patternFill patternType="solid">
        <fgColor rgb="FFEFE6D5"/>
        <bgColor rgb="FFEFE6D5"/>
      </patternFill>
    </fill>
    <fill>
      <patternFill patternType="solid">
        <fgColor rgb="FF315E61"/>
        <bgColor rgb="FF315E61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/>
    </xf>
    <xf borderId="0" fillId="3" fontId="3" numFmtId="0" xfId="0" applyFill="1" applyFont="1"/>
    <xf borderId="0" fillId="2" fontId="3" numFmtId="0" xfId="0" applyFont="1"/>
    <xf borderId="0" fillId="4" fontId="4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shrinkToFit="0" vertical="center" wrapText="1"/>
    </xf>
    <xf borderId="0" fillId="3" fontId="5" numFmtId="0" xfId="0" applyAlignment="1" applyFont="1">
      <alignment horizontal="center" vertical="center"/>
    </xf>
    <xf borderId="0" fillId="2" fontId="3" numFmtId="0" xfId="0" applyAlignment="1" applyFont="1">
      <alignment vertical="center"/>
    </xf>
    <xf borderId="0" fillId="2" fontId="3" numFmtId="164" xfId="0" applyAlignment="1" applyFont="1" applyNumberFormat="1">
      <alignment vertical="center"/>
    </xf>
    <xf borderId="0" fillId="6" fontId="6" numFmtId="0" xfId="0" applyAlignment="1" applyFill="1" applyFont="1">
      <alignment horizontal="center" vertical="center"/>
    </xf>
    <xf borderId="0" fillId="0" fontId="7" numFmtId="0" xfId="0" applyFont="1"/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0" fillId="0" fontId="8" numFmtId="2" xfId="0" applyAlignment="1" applyFont="1" applyNumberFormat="1">
      <alignment vertical="center"/>
    </xf>
    <xf borderId="0" fillId="6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Gatunki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Raport!$A$17:$A$21</c:f>
            </c:strRef>
          </c:cat>
          <c:val>
            <c:numRef>
              <c:f>Raport!$B$17:$B$21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Województwa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Liczba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Raport!$E$17:$E$25</c:f>
            </c:strRef>
          </c:cat>
          <c:val>
            <c:numRef>
              <c:f>Raport!$F$17:$F$25</c:f>
              <c:numCache/>
            </c:numRef>
          </c:val>
        </c:ser>
        <c:axId val="1228302291"/>
        <c:axId val="1548950308"/>
      </c:barChart>
      <c:catAx>
        <c:axId val="1228302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8950308"/>
      </c:catAx>
      <c:valAx>
        <c:axId val="1548950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830229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Nagroda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Raport!$A$25:$A$26</c:f>
            </c:strRef>
          </c:cat>
          <c:val>
            <c:numRef>
              <c:f>Raport!$B$25:$B$26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14</xdr:row>
      <xdr:rowOff>0</xdr:rowOff>
    </xdr:from>
    <xdr:ext cx="5181600" cy="2324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26</xdr:row>
      <xdr:rowOff>0</xdr:rowOff>
    </xdr:from>
    <xdr:ext cx="5181600" cy="2524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0</xdr:rowOff>
    </xdr:from>
    <xdr:ext cx="5943600" cy="24003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0"/>
    <col customWidth="1" min="3" max="3" width="12.0"/>
    <col customWidth="1" min="4" max="4" width="4.0"/>
    <col customWidth="1" min="5" max="5" width="20.0"/>
    <col customWidth="1" min="6" max="6" width="10.0"/>
    <col customWidth="1" min="7" max="7" width="4.0"/>
    <col customWidth="1" min="8" max="12" width="12.0"/>
    <col customWidth="1" min="13" max="14" width="4.0"/>
  </cols>
  <sheetData>
    <row r="1" ht="9.75" customHeight="1">
      <c r="A1" s="1" t="s">
        <v>0</v>
      </c>
    </row>
    <row r="2" ht="17.25" customHeight="1"/>
    <row r="3" ht="13.5" customHeight="1">
      <c r="A3" s="2" t="s">
        <v>1</v>
      </c>
    </row>
    <row r="4" ht="9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9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24.0" customHeight="1">
      <c r="A6" s="5" t="s">
        <v>2</v>
      </c>
      <c r="D6" s="5" t="s">
        <v>3</v>
      </c>
      <c r="G6" s="5" t="s">
        <v>4</v>
      </c>
      <c r="J6" s="5" t="s">
        <v>5</v>
      </c>
      <c r="M6" s="4"/>
      <c r="N6" s="4"/>
    </row>
    <row r="7" ht="24.0" customHeight="1">
      <c r="M7" s="4"/>
      <c r="N7" s="4"/>
    </row>
    <row r="8" ht="24.0" customHeight="1">
      <c r="M8" s="4"/>
      <c r="N8" s="4"/>
    </row>
    <row r="9" ht="24.0" customHeight="1">
      <c r="M9" s="4"/>
      <c r="N9" s="4"/>
    </row>
    <row r="10" ht="9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30.0" customHeight="1">
      <c r="A11" s="6" t="s">
        <v>6</v>
      </c>
    </row>
    <row r="12" ht="30.0" customHeight="1"/>
    <row r="13" ht="30.0" customHeight="1"/>
    <row r="14" ht="9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9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7" t="s">
        <v>7</v>
      </c>
      <c r="B16" s="7" t="s">
        <v>8</v>
      </c>
      <c r="C16" s="7" t="s">
        <v>9</v>
      </c>
      <c r="D16" s="4"/>
      <c r="E16" s="7" t="s">
        <v>10</v>
      </c>
      <c r="F16" s="7" t="s">
        <v>8</v>
      </c>
      <c r="G16" s="4"/>
      <c r="H16" s="4"/>
      <c r="I16" s="4"/>
      <c r="J16" s="4"/>
      <c r="K16" s="4"/>
      <c r="L16" s="4"/>
      <c r="M16" s="4"/>
      <c r="N16" s="4"/>
    </row>
    <row r="17">
      <c r="A17" s="8" t="s">
        <v>11</v>
      </c>
      <c r="B17" s="8">
        <v>165.0</v>
      </c>
      <c r="C17" s="9">
        <v>0.6875</v>
      </c>
      <c r="D17" s="4"/>
      <c r="E17" s="8" t="s">
        <v>12</v>
      </c>
      <c r="F17" s="8">
        <v>58.0</v>
      </c>
      <c r="G17" s="4"/>
      <c r="H17" s="4"/>
      <c r="I17" s="4"/>
      <c r="J17" s="4"/>
      <c r="K17" s="4"/>
      <c r="L17" s="4"/>
      <c r="M17" s="4"/>
      <c r="N17" s="4"/>
    </row>
    <row r="18">
      <c r="A18" s="8" t="s">
        <v>13</v>
      </c>
      <c r="B18" s="8">
        <v>71.0</v>
      </c>
      <c r="C18" s="9">
        <v>0.29583333333333334</v>
      </c>
      <c r="D18" s="4"/>
      <c r="E18" s="8" t="s">
        <v>14</v>
      </c>
      <c r="F18" s="8">
        <v>27.0</v>
      </c>
      <c r="G18" s="4"/>
      <c r="H18" s="4"/>
      <c r="I18" s="4"/>
      <c r="J18" s="4"/>
      <c r="K18" s="4"/>
      <c r="L18" s="4"/>
      <c r="M18" s="4"/>
      <c r="N18" s="4"/>
    </row>
    <row r="19">
      <c r="A19" s="8" t="s">
        <v>15</v>
      </c>
      <c r="B19" s="8">
        <v>2.0</v>
      </c>
      <c r="C19" s="9">
        <v>0.008333333333333333</v>
      </c>
      <c r="D19" s="4"/>
      <c r="E19" s="8" t="s">
        <v>16</v>
      </c>
      <c r="F19" s="8">
        <v>26.0</v>
      </c>
      <c r="G19" s="4"/>
      <c r="H19" s="4"/>
      <c r="I19" s="4"/>
      <c r="J19" s="4"/>
      <c r="K19" s="4"/>
      <c r="L19" s="4"/>
      <c r="M19" s="4"/>
      <c r="N19" s="4"/>
    </row>
    <row r="20">
      <c r="A20" s="8" t="s">
        <v>17</v>
      </c>
      <c r="B20" s="8">
        <v>1.0</v>
      </c>
      <c r="C20" s="9">
        <v>0.004166666666666667</v>
      </c>
      <c r="D20" s="4"/>
      <c r="E20" s="8" t="s">
        <v>18</v>
      </c>
      <c r="F20" s="8">
        <v>21.0</v>
      </c>
      <c r="G20" s="4"/>
      <c r="H20" s="4"/>
      <c r="I20" s="4"/>
      <c r="J20" s="4"/>
      <c r="K20" s="4"/>
      <c r="L20" s="4"/>
      <c r="M20" s="4"/>
      <c r="N20" s="4"/>
    </row>
    <row r="21" ht="15.75" customHeight="1">
      <c r="A21" s="8" t="s">
        <v>19</v>
      </c>
      <c r="B21" s="8">
        <v>1.0</v>
      </c>
      <c r="C21" s="9">
        <v>0.004166666666666667</v>
      </c>
      <c r="D21" s="4"/>
      <c r="E21" s="8" t="s">
        <v>20</v>
      </c>
      <c r="F21" s="8">
        <v>21.0</v>
      </c>
      <c r="G21" s="4"/>
      <c r="H21" s="4"/>
      <c r="I21" s="4"/>
      <c r="J21" s="4"/>
      <c r="K21" s="4"/>
      <c r="L21" s="4"/>
      <c r="M21" s="4"/>
      <c r="N21" s="4"/>
    </row>
    <row r="22" ht="15.75" customHeight="1">
      <c r="A22" s="4"/>
      <c r="B22" s="4"/>
      <c r="C22" s="4"/>
      <c r="D22" s="4"/>
      <c r="E22" s="8" t="s">
        <v>21</v>
      </c>
      <c r="F22" s="8">
        <v>19.0</v>
      </c>
      <c r="G22" s="4"/>
      <c r="H22" s="4"/>
      <c r="I22" s="4"/>
      <c r="J22" s="4"/>
      <c r="K22" s="4"/>
      <c r="L22" s="4"/>
      <c r="M22" s="4"/>
      <c r="N22" s="4"/>
    </row>
    <row r="23" ht="15.75" customHeight="1">
      <c r="A23" s="4"/>
      <c r="B23" s="4"/>
      <c r="C23" s="4"/>
      <c r="D23" s="4"/>
      <c r="E23" s="8" t="s">
        <v>22</v>
      </c>
      <c r="F23" s="8">
        <v>17.0</v>
      </c>
      <c r="G23" s="4"/>
      <c r="H23" s="4"/>
      <c r="I23" s="4"/>
      <c r="J23" s="4"/>
      <c r="K23" s="4"/>
      <c r="L23" s="4"/>
      <c r="M23" s="4"/>
      <c r="N23" s="4"/>
    </row>
    <row r="24" ht="15.75" customHeight="1">
      <c r="A24" s="7" t="s">
        <v>23</v>
      </c>
      <c r="B24" s="7" t="s">
        <v>8</v>
      </c>
      <c r="C24" s="7" t="s">
        <v>9</v>
      </c>
      <c r="D24" s="4"/>
      <c r="E24" s="8" t="s">
        <v>24</v>
      </c>
      <c r="F24" s="8">
        <v>16.0</v>
      </c>
      <c r="G24" s="4"/>
      <c r="H24" s="4"/>
      <c r="I24" s="4"/>
      <c r="J24" s="4"/>
      <c r="K24" s="4"/>
      <c r="L24" s="4"/>
      <c r="M24" s="4"/>
      <c r="N24" s="4"/>
    </row>
    <row r="25" ht="15.75" customHeight="1">
      <c r="A25" s="8" t="s">
        <v>25</v>
      </c>
      <c r="B25" s="8">
        <v>121.0</v>
      </c>
      <c r="C25" s="9">
        <v>0.5041666666666667</v>
      </c>
      <c r="D25" s="4"/>
      <c r="E25" s="8" t="s">
        <v>26</v>
      </c>
      <c r="F25" s="8">
        <v>9.0</v>
      </c>
      <c r="G25" s="4"/>
      <c r="H25" s="4"/>
      <c r="I25" s="4"/>
      <c r="J25" s="4"/>
      <c r="K25" s="4"/>
      <c r="L25" s="4"/>
      <c r="M25" s="4"/>
      <c r="N25" s="4"/>
    </row>
    <row r="26" ht="15.75" customHeight="1">
      <c r="A26" s="8" t="s">
        <v>27</v>
      </c>
      <c r="B26" s="8">
        <v>119.0</v>
      </c>
      <c r="C26" s="9">
        <v>0.49583333333333335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9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7" t="s">
        <v>28</v>
      </c>
      <c r="F28" s="7" t="s">
        <v>8</v>
      </c>
      <c r="G28" s="4"/>
      <c r="H28" s="4"/>
      <c r="I28" s="4"/>
      <c r="J28" s="4"/>
      <c r="K28" s="4"/>
      <c r="L28" s="4"/>
      <c r="M28" s="4"/>
      <c r="N28" s="4"/>
    </row>
    <row r="29" ht="15.75" customHeight="1">
      <c r="A29" s="7" t="s">
        <v>29</v>
      </c>
      <c r="B29" s="7" t="s">
        <v>8</v>
      </c>
      <c r="C29" s="7" t="s">
        <v>9</v>
      </c>
      <c r="D29" s="4"/>
      <c r="E29" s="8" t="s">
        <v>30</v>
      </c>
      <c r="F29" s="8">
        <v>134.0</v>
      </c>
      <c r="G29" s="4"/>
      <c r="H29" s="4"/>
      <c r="I29" s="4"/>
      <c r="J29" s="4"/>
      <c r="K29" s="4"/>
      <c r="L29" s="4"/>
      <c r="M29" s="4"/>
      <c r="N29" s="4"/>
    </row>
    <row r="30" ht="15.75" customHeight="1">
      <c r="A30" s="8" t="s">
        <v>31</v>
      </c>
      <c r="B30" s="8">
        <v>233.0</v>
      </c>
      <c r="C30" s="9">
        <v>0.9708333333333333</v>
      </c>
      <c r="D30" s="4"/>
      <c r="E30" s="8" t="s">
        <v>32</v>
      </c>
      <c r="F30" s="8">
        <v>82.0</v>
      </c>
      <c r="G30" s="4"/>
      <c r="H30" s="4"/>
      <c r="I30" s="4"/>
      <c r="J30" s="4"/>
      <c r="K30" s="4"/>
      <c r="L30" s="4"/>
      <c r="M30" s="4"/>
      <c r="N30" s="4"/>
    </row>
    <row r="31" ht="15.75" customHeight="1">
      <c r="A31" s="8" t="s">
        <v>33</v>
      </c>
      <c r="B31" s="8">
        <v>5.0</v>
      </c>
      <c r="C31" s="9">
        <v>0.020833333333333332</v>
      </c>
      <c r="D31" s="4"/>
      <c r="E31" s="8" t="s">
        <v>34</v>
      </c>
      <c r="F31" s="8">
        <v>24.0</v>
      </c>
      <c r="G31" s="4"/>
      <c r="H31" s="4"/>
      <c r="I31" s="4"/>
      <c r="J31" s="4"/>
      <c r="K31" s="4"/>
      <c r="L31" s="4"/>
      <c r="M31" s="4"/>
      <c r="N31" s="4"/>
    </row>
    <row r="32" ht="15.75" customHeight="1">
      <c r="A32" s="8" t="s">
        <v>35</v>
      </c>
      <c r="B32" s="8">
        <v>2.0</v>
      </c>
      <c r="C32" s="9">
        <v>0.008333333333333333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</sheetData>
  <mergeCells count="7">
    <mergeCell ref="A1:N2"/>
    <mergeCell ref="A3:N3"/>
    <mergeCell ref="A6:C9"/>
    <mergeCell ref="D6:F9"/>
    <mergeCell ref="G6:I9"/>
    <mergeCell ref="J6:L9"/>
    <mergeCell ref="A11:N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0.0"/>
    <col customWidth="1" min="3" max="3" width="12.0"/>
    <col customWidth="1" min="4" max="4" width="8.63"/>
    <col customWidth="1" min="5" max="5" width="22.0"/>
    <col customWidth="1" min="6" max="6" width="10.0"/>
    <col customWidth="1" min="7" max="7" width="8.63"/>
    <col customWidth="1" min="8" max="8" width="14.0"/>
    <col customWidth="1" min="9" max="9" width="10.0"/>
    <col customWidth="1" min="10" max="10" width="12.0"/>
    <col customWidth="1" min="11" max="11" width="8.63"/>
    <col customWidth="1" min="12" max="12" width="18.0"/>
    <col customWidth="1" min="13" max="13" width="10.0"/>
    <col customWidth="1" min="14" max="14" width="12.0"/>
    <col customWidth="1" min="15" max="15" width="8.63"/>
    <col customWidth="1" min="16" max="16" width="18.0"/>
    <col customWidth="1" min="17" max="17" width="10.0"/>
    <col customWidth="1" min="18" max="18" width="8.63"/>
    <col customWidth="1" min="19" max="19" width="28.0"/>
    <col customWidth="1" min="20" max="20" width="12.0"/>
  </cols>
  <sheetData>
    <row r="1">
      <c r="A1" s="10" t="s">
        <v>7</v>
      </c>
      <c r="B1" s="10" t="s">
        <v>8</v>
      </c>
      <c r="C1" s="10" t="s">
        <v>9</v>
      </c>
      <c r="D1" s="11"/>
      <c r="E1" s="10" t="s">
        <v>10</v>
      </c>
      <c r="F1" s="10" t="s">
        <v>8</v>
      </c>
      <c r="G1" s="11"/>
      <c r="H1" s="10" t="s">
        <v>23</v>
      </c>
      <c r="I1" s="10" t="s">
        <v>8</v>
      </c>
      <c r="J1" s="10" t="s">
        <v>9</v>
      </c>
      <c r="K1" s="11"/>
      <c r="L1" s="10" t="s">
        <v>29</v>
      </c>
      <c r="M1" s="10" t="s">
        <v>8</v>
      </c>
      <c r="N1" s="10" t="s">
        <v>9</v>
      </c>
      <c r="O1" s="11"/>
      <c r="P1" s="10" t="s">
        <v>28</v>
      </c>
      <c r="Q1" s="10" t="s">
        <v>8</v>
      </c>
      <c r="R1" s="11"/>
      <c r="S1" s="10" t="s">
        <v>36</v>
      </c>
      <c r="T1" s="10" t="s">
        <v>37</v>
      </c>
    </row>
    <row r="2">
      <c r="A2" s="12" t="s">
        <v>11</v>
      </c>
      <c r="B2" s="12">
        <v>165.0</v>
      </c>
      <c r="C2" s="13" t="str">
        <f t="shared" ref="C2:C6" si="1">B2/$B$8</f>
        <v>68.8%</v>
      </c>
      <c r="E2" s="12" t="s">
        <v>12</v>
      </c>
      <c r="F2" s="12">
        <v>58.0</v>
      </c>
      <c r="H2" s="12" t="s">
        <v>25</v>
      </c>
      <c r="I2" s="12">
        <v>121.0</v>
      </c>
      <c r="J2" s="13" t="str">
        <f>I2/I4</f>
        <v>50.4%</v>
      </c>
      <c r="L2" s="12" t="s">
        <v>31</v>
      </c>
      <c r="M2" s="12">
        <v>233.0</v>
      </c>
      <c r="N2" s="13" t="str">
        <f>M2/M5</f>
        <v>97.1%</v>
      </c>
      <c r="P2" s="12" t="s">
        <v>30</v>
      </c>
      <c r="Q2" s="12">
        <v>134.0</v>
      </c>
      <c r="S2" s="12" t="s">
        <v>38</v>
      </c>
      <c r="T2" s="12">
        <v>240.0</v>
      </c>
    </row>
    <row r="3">
      <c r="A3" s="12" t="s">
        <v>13</v>
      </c>
      <c r="B3" s="12">
        <v>71.0</v>
      </c>
      <c r="C3" s="13" t="str">
        <f t="shared" si="1"/>
        <v>29.6%</v>
      </c>
      <c r="E3" s="12" t="s">
        <v>14</v>
      </c>
      <c r="F3" s="12">
        <v>27.0</v>
      </c>
      <c r="H3" s="12" t="s">
        <v>27</v>
      </c>
      <c r="I3" s="12">
        <v>119.0</v>
      </c>
      <c r="J3" s="13" t="str">
        <f>I3/I4</f>
        <v>49.6%</v>
      </c>
      <c r="L3" s="12" t="s">
        <v>33</v>
      </c>
      <c r="M3" s="12">
        <v>5.0</v>
      </c>
      <c r="N3" s="13" t="str">
        <f>M3/M5</f>
        <v>2.1%</v>
      </c>
      <c r="P3" s="12" t="s">
        <v>32</v>
      </c>
      <c r="Q3" s="12">
        <v>82.0</v>
      </c>
      <c r="S3" s="12" t="s">
        <v>39</v>
      </c>
      <c r="T3" s="14">
        <v>1.0</v>
      </c>
    </row>
    <row r="4">
      <c r="A4" s="12" t="s">
        <v>15</v>
      </c>
      <c r="B4" s="12">
        <v>2.0</v>
      </c>
      <c r="C4" s="13" t="str">
        <f t="shared" si="1"/>
        <v>0.8%</v>
      </c>
      <c r="E4" s="12" t="s">
        <v>16</v>
      </c>
      <c r="F4" s="12">
        <v>26.0</v>
      </c>
      <c r="H4" s="12" t="s">
        <v>40</v>
      </c>
      <c r="I4" s="12">
        <v>240.0</v>
      </c>
      <c r="J4" s="13" t="str">
        <f>J2+J3</f>
        <v>100.0%</v>
      </c>
      <c r="L4" s="12" t="s">
        <v>35</v>
      </c>
      <c r="M4" s="12">
        <v>2.0</v>
      </c>
      <c r="N4" s="13" t="str">
        <f>M4/M5</f>
        <v>0.8%</v>
      </c>
      <c r="P4" s="12" t="s">
        <v>34</v>
      </c>
      <c r="Q4" s="12">
        <v>24.0</v>
      </c>
      <c r="S4" s="12" t="s">
        <v>41</v>
      </c>
      <c r="T4" s="12">
        <v>237.0</v>
      </c>
    </row>
    <row r="5">
      <c r="A5" s="12" t="s">
        <v>17</v>
      </c>
      <c r="B5" s="12">
        <v>1.0</v>
      </c>
      <c r="C5" s="13" t="str">
        <f t="shared" si="1"/>
        <v>0.4%</v>
      </c>
      <c r="E5" s="12" t="s">
        <v>18</v>
      </c>
      <c r="F5" s="12">
        <v>21.0</v>
      </c>
      <c r="L5" s="12" t="s">
        <v>40</v>
      </c>
      <c r="M5" s="12">
        <v>240.0</v>
      </c>
      <c r="N5" s="13" t="str">
        <f>N2+N3+N4</f>
        <v>100.0%</v>
      </c>
      <c r="S5" s="12" t="s">
        <v>42</v>
      </c>
      <c r="T5" s="12">
        <v>3.0</v>
      </c>
    </row>
    <row r="6">
      <c r="A6" s="12" t="s">
        <v>19</v>
      </c>
      <c r="B6" s="12">
        <v>1.0</v>
      </c>
      <c r="C6" s="13" t="str">
        <f t="shared" si="1"/>
        <v>0.4%</v>
      </c>
      <c r="E6" s="12" t="s">
        <v>20</v>
      </c>
      <c r="F6" s="12">
        <v>21.0</v>
      </c>
      <c r="S6" s="12" t="s">
        <v>43</v>
      </c>
      <c r="T6" s="12">
        <v>119.0</v>
      </c>
    </row>
    <row r="7">
      <c r="A7" s="12"/>
      <c r="B7" s="12"/>
      <c r="C7" s="13"/>
      <c r="E7" s="12" t="s">
        <v>21</v>
      </c>
      <c r="F7" s="12">
        <v>19.0</v>
      </c>
      <c r="S7" s="12" t="s">
        <v>44</v>
      </c>
      <c r="T7" s="12">
        <v>121.0</v>
      </c>
    </row>
    <row r="8">
      <c r="A8" s="12" t="s">
        <v>40</v>
      </c>
      <c r="B8" s="12">
        <v>240.0</v>
      </c>
      <c r="C8" s="13" t="str">
        <f>B8/$B$8</f>
        <v>100.0%</v>
      </c>
      <c r="E8" s="12" t="s">
        <v>22</v>
      </c>
      <c r="F8" s="12">
        <v>17.0</v>
      </c>
    </row>
    <row r="9">
      <c r="E9" s="12" t="s">
        <v>24</v>
      </c>
      <c r="F9" s="12">
        <v>16.0</v>
      </c>
    </row>
    <row r="10">
      <c r="E10" s="12" t="s">
        <v>26</v>
      </c>
      <c r="F10" s="12">
        <v>9.0</v>
      </c>
    </row>
    <row r="11">
      <c r="A11" s="15" t="s">
        <v>45</v>
      </c>
      <c r="B11" s="15" t="s">
        <v>46</v>
      </c>
      <c r="C11" s="15" t="s">
        <v>8</v>
      </c>
      <c r="E11" s="12" t="s">
        <v>47</v>
      </c>
      <c r="F11" s="12">
        <v>8.0</v>
      </c>
    </row>
    <row r="12">
      <c r="A12" s="12">
        <v>2026.0</v>
      </c>
      <c r="B12" s="12">
        <v>3.0</v>
      </c>
      <c r="C12" s="12">
        <v>3.0</v>
      </c>
      <c r="E12" s="12" t="s">
        <v>48</v>
      </c>
      <c r="F12" s="12">
        <v>3.0</v>
      </c>
    </row>
    <row r="13">
      <c r="A13" s="12">
        <v>2026.0</v>
      </c>
      <c r="B13" s="12">
        <v>4.0</v>
      </c>
      <c r="C13" s="12">
        <v>117.0</v>
      </c>
      <c r="E13" s="12" t="s">
        <v>49</v>
      </c>
      <c r="F13" s="12">
        <v>3.0</v>
      </c>
    </row>
    <row r="14">
      <c r="A14" s="12">
        <v>2026.0</v>
      </c>
      <c r="B14" s="12">
        <v>5.0</v>
      </c>
      <c r="C14" s="12">
        <v>120.0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drawing r:id="rId1"/>
</worksheet>
</file>